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  <sheet name="overhead_research" sheetId="2" r:id="rId2"/>
    <sheet name="lab_teams" sheetId="3" r:id="rId3"/>
  </sheets>
  <calcPr calcId="124519" fullCalcOnLoad="1"/>
</workbook>
</file>

<file path=xl/sharedStrings.xml><?xml version="1.0" encoding="utf-8"?>
<sst xmlns="http://schemas.openxmlformats.org/spreadsheetml/2006/main" count="36" uniqueCount="31">
  <si>
    <t>effective_loc_week</t>
  </si>
  <si>
    <t>entity</t>
  </si>
  <si>
    <t>overhead_pct</t>
  </si>
  <si>
    <t>rex_speed_ratio</t>
  </si>
  <si>
    <t>safety_headcount</t>
  </si>
  <si>
    <t>Rex_Solo</t>
  </si>
  <si>
    <t>Anthropic</t>
  </si>
  <si>
    <t>OpenAI</t>
  </si>
  <si>
    <t>DeepMind</t>
  </si>
  <si>
    <t>xAI</t>
  </si>
  <si>
    <t>coding_pct</t>
  </si>
  <si>
    <t>meeting_pct</t>
  </si>
  <si>
    <t>sample_size</t>
  </si>
  <si>
    <t>source</t>
  </si>
  <si>
    <t>Clockwise_2022</t>
  </si>
  <si>
    <t>Atlassian_2024</t>
  </si>
  <si>
    <t>Software_com_2021</t>
  </si>
  <si>
    <t>HBR_2017</t>
  </si>
  <si>
    <t>comm_channels</t>
  </si>
  <si>
    <t>coordination_overhead_pct</t>
  </si>
  <si>
    <t>core_decision_makers</t>
  </si>
  <si>
    <t>effective_execution_pct</t>
  </si>
  <si>
    <t>individual_velocity_loc_week</t>
  </si>
  <si>
    <t>inefficiency_overhead_pct</t>
  </si>
  <si>
    <t>lab</t>
  </si>
  <si>
    <t>meeting_overhead_pct</t>
  </si>
  <si>
    <t>safety_team_size</t>
  </si>
  <si>
    <t>team_effective_velocity</t>
  </si>
  <si>
    <t>team_raw_velocity</t>
  </si>
  <si>
    <t>total_headcount</t>
  </si>
  <si>
    <t>total_overhead_pct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</si>
</sst>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23000</v>
      </c>
      <c r="B2" t="s">
        <v>5</v>
      </c>
      <c r="C2">
        <v>0</v>
      </c>
      <c r="D2">
        <f>23000 / A2</f>
        <v>0</v>
      </c>
      <c r="E2">
        <v>1</v>
      </c>
    </row>
    <row r="3" spans="1:5">
      <c r="A3">
        <v>72000</v>
      </c>
      <c r="B3" t="s">
        <v>6</v>
      </c>
      <c r="C3">
        <v>0.68</v>
      </c>
      <c r="D3">
        <f>23000 / A3</f>
        <v>0</v>
      </c>
      <c r="E3">
        <v>300</v>
      </c>
    </row>
    <row r="4" spans="1:5">
      <c r="A4">
        <v>2760</v>
      </c>
      <c r="B4" t="s">
        <v>7</v>
      </c>
      <c r="C4">
        <v>0.77</v>
      </c>
      <c r="D4">
        <f>23000 / A4</f>
        <v>0</v>
      </c>
      <c r="E4">
        <v>16</v>
      </c>
    </row>
    <row r="5" spans="1:5">
      <c r="A5">
        <v>9600</v>
      </c>
      <c r="B5" t="s">
        <v>8</v>
      </c>
      <c r="C5">
        <v>0.68</v>
      </c>
      <c r="D5">
        <f>23000 / A5</f>
        <v>0</v>
      </c>
      <c r="E5">
        <v>40</v>
      </c>
    </row>
    <row r="6" spans="1:5">
      <c r="A6">
        <v>1988</v>
      </c>
      <c r="B6" t="s">
        <v>9</v>
      </c>
      <c r="C6">
        <v>0.47</v>
      </c>
      <c r="D6">
        <f>23000 / A6</f>
        <v>0</v>
      </c>
      <c r="E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0.22</v>
      </c>
      <c r="B2">
        <v>0.28</v>
      </c>
      <c r="C2">
        <v>80000</v>
      </c>
      <c r="D2" t="s">
        <v>14</v>
      </c>
    </row>
    <row r="3" spans="1:4">
      <c r="A3">
        <v>0.32</v>
      </c>
      <c r="B3">
        <v>0.25</v>
      </c>
      <c r="C3">
        <v>2100</v>
      </c>
      <c r="D3" t="s">
        <v>15</v>
      </c>
    </row>
    <row r="4" spans="1:4">
      <c r="A4">
        <v>0.11</v>
      </c>
      <c r="B4">
        <v>0.27</v>
      </c>
      <c r="C4">
        <v>250000</v>
      </c>
      <c r="D4" t="s">
        <v>16</v>
      </c>
    </row>
    <row r="5" spans="1:4">
      <c r="A5">
        <v>0.2</v>
      </c>
      <c r="B5">
        <v>0.3</v>
      </c>
      <c r="C5">
        <v>5000</v>
      </c>
      <c r="D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>
        <f>C2 * (C2 - 1) / 2</f>
        <v>0</v>
      </c>
      <c r="B2">
        <v>0.22</v>
      </c>
      <c r="C2">
        <v>10</v>
      </c>
      <c r="D2">
        <f>1 - M2</f>
        <v>0</v>
      </c>
      <c r="E2">
        <v>750</v>
      </c>
      <c r="F2">
        <v>0.18</v>
      </c>
      <c r="G2" t="s">
        <v>6</v>
      </c>
      <c r="H2">
        <v>0.28</v>
      </c>
      <c r="I2">
        <v>300</v>
      </c>
      <c r="J2">
        <f>K2 * D2</f>
        <v>0</v>
      </c>
      <c r="K2">
        <f>I2 * E2</f>
        <v>0</v>
      </c>
      <c r="L2">
        <v>3140</v>
      </c>
      <c r="M2">
        <f>H2 + B2 + F2</f>
        <v>0</v>
      </c>
    </row>
    <row r="3" spans="1:13">
      <c r="A3">
        <f>C3 * (C3 - 1) / 2</f>
        <v>0</v>
      </c>
      <c r="B3">
        <v>0.25</v>
      </c>
      <c r="C3">
        <v>9</v>
      </c>
      <c r="D3">
        <f>1 - M3</f>
        <v>0</v>
      </c>
      <c r="E3">
        <v>750</v>
      </c>
      <c r="F3">
        <v>0.22</v>
      </c>
      <c r="G3" t="s">
        <v>7</v>
      </c>
      <c r="H3">
        <v>0.3</v>
      </c>
      <c r="I3">
        <v>16</v>
      </c>
      <c r="J3">
        <f>K3 * D3</f>
        <v>0</v>
      </c>
      <c r="K3">
        <f>I3 * E3</f>
        <v>0</v>
      </c>
      <c r="L3">
        <v>3531</v>
      </c>
      <c r="M3">
        <f>H3 + B3 + F3</f>
        <v>0</v>
      </c>
    </row>
    <row r="4" spans="1:13">
      <c r="A4">
        <f>C4 * (C4 - 1) / 2</f>
        <v>0</v>
      </c>
      <c r="B4">
        <v>0.22</v>
      </c>
      <c r="C4">
        <v>6</v>
      </c>
      <c r="D4">
        <f>1 - M4</f>
        <v>0</v>
      </c>
      <c r="E4">
        <v>750</v>
      </c>
      <c r="F4">
        <v>0.18</v>
      </c>
      <c r="G4" t="s">
        <v>8</v>
      </c>
      <c r="H4">
        <v>0.28</v>
      </c>
      <c r="I4">
        <v>40</v>
      </c>
      <c r="J4">
        <f>K4 * D4</f>
        <v>0</v>
      </c>
      <c r="K4">
        <f>I4 * E4</f>
        <v>0</v>
      </c>
      <c r="L4">
        <v>6600</v>
      </c>
      <c r="M4">
        <f>H4 + B4 + F4</f>
        <v>0</v>
      </c>
    </row>
    <row r="5" spans="1:13">
      <c r="A5">
        <f>C5 * (C5 - 1) / 2</f>
        <v>0</v>
      </c>
      <c r="B5">
        <v>0.15</v>
      </c>
      <c r="C5">
        <v>3</v>
      </c>
      <c r="D5">
        <f>1 - M5</f>
        <v>0</v>
      </c>
      <c r="E5">
        <v>750</v>
      </c>
      <c r="F5">
        <v>0.12</v>
      </c>
      <c r="G5" t="s">
        <v>9</v>
      </c>
      <c r="H5">
        <v>0.2</v>
      </c>
      <c r="I5">
        <v>5</v>
      </c>
      <c r="J5">
        <f>K5 * D5</f>
        <v>0</v>
      </c>
      <c r="K5">
        <f>I5 * E5</f>
        <v>0</v>
      </c>
      <c r="L5">
        <v>1200</v>
      </c>
      <c r="M5">
        <f>H5 + B5 + F5</f>
        <v>0</v>
      </c>
    </row>
    <row r="6" spans="1:13">
      <c r="A6">
        <f>C6 * (C6 - 1) / 2</f>
        <v>0</v>
      </c>
      <c r="B6">
        <v>0</v>
      </c>
      <c r="C6">
        <v>1</v>
      </c>
      <c r="D6">
        <f>1 - M6</f>
        <v>0</v>
      </c>
      <c r="E6">
        <v>23000</v>
      </c>
      <c r="F6">
        <v>0</v>
      </c>
      <c r="G6" t="s">
        <v>5</v>
      </c>
      <c r="H6">
        <v>0</v>
      </c>
      <c r="I6">
        <v>1</v>
      </c>
      <c r="J6">
        <f>K6 * D6</f>
        <v>0</v>
      </c>
      <c r="K6">
        <f>I6 * E6</f>
        <v>0</v>
      </c>
      <c r="L6">
        <v>1</v>
      </c>
      <c r="M6">
        <f>H6 + B6 + F6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overhead_research</vt:lpstr>
      <vt:lpstr>lab_teams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2025-12-14T03:49:04Z</dcterms:created>
  <dcterms:modified xsi:type="dcterms:W3CDTF">2025-12-14T03:49:04Z</dcterms:modified>
</cp:coreProperties>
</file>
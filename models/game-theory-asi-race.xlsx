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_safety_scores" sheetId="1" r:id="rId1"/>
    <sheet name="prisoners_dilemma" sheetId="2" r:id="rId2"/>
    <sheet name="trajectory_probabilities" sheetId="3" r:id="rId3"/>
    <sheet name="scenario_outcomes" sheetId="4" r:id="rId4"/>
    <sheet name="baseline_world" sheetId="5" r:id="rId5"/>
    <sheet name="asimov_world" sheetId="6" r:id="rId6"/>
    <sheet name="nash_analysis" sheetId="7" r:id="rId7"/>
    <sheet name="Scalars" sheetId="8" r:id="rId8"/>
  </sheets>
  <calcPr calcId="124519" fullCalcOnLoad="1"/>
</workbook>
</file>

<file path=xl/sharedStrings.xml><?xml version="1.0" encoding="utf-8"?>
<sst xmlns="http://schemas.openxmlformats.org/spreadsheetml/2006/main" count="97" uniqueCount="66">
  <si>
    <t>existential_safety</t>
  </si>
  <si>
    <t>grade</t>
  </si>
  <si>
    <t>lab</t>
  </si>
  <si>
    <t>risk_mgmt_pct</t>
  </si>
  <si>
    <t>D</t>
  </si>
  <si>
    <t>C+</t>
  </si>
  <si>
    <t>Anthropic</t>
  </si>
  <si>
    <t>C</t>
  </si>
  <si>
    <t>OpenAI</t>
  </si>
  <si>
    <t>C-</t>
  </si>
  <si>
    <t>DeepMind</t>
  </si>
  <si>
    <t>D+</t>
  </si>
  <si>
    <t>Meta</t>
  </si>
  <si>
    <t>xAI</t>
  </si>
  <si>
    <t>description</t>
  </si>
  <si>
    <t>humanity_payoff</t>
  </si>
  <si>
    <t>lab_a_payoff</t>
  </si>
  <si>
    <t>lab_b_payoff</t>
  </si>
  <si>
    <t>strategy</t>
  </si>
  <si>
    <t>Mutual cooperation</t>
  </si>
  <si>
    <t>Safe_Safe</t>
  </si>
  <si>
    <t>A loses market</t>
  </si>
  <si>
    <t>Safe_Fast</t>
  </si>
  <si>
    <t>B loses market</t>
  </si>
  <si>
    <t>Fast_Safe</t>
  </si>
  <si>
    <t>Race to bottom</t>
  </si>
  <si>
    <t>Fast_Fast</t>
  </si>
  <si>
    <t>expected_utility</t>
  </si>
  <si>
    <t>p_scenario</t>
  </si>
  <si>
    <t>scenario</t>
  </si>
  <si>
    <t>weighted_ev</t>
  </si>
  <si>
    <t>Unaligned_ASI_First</t>
  </si>
  <si>
    <t>Aligned_Constraint_Based</t>
  </si>
  <si>
    <t>ASImov_First</t>
  </si>
  <si>
    <t>Multiple_ASIs_No_Advocate</t>
  </si>
  <si>
    <t>No_ASI_Coordination_Holds</t>
  </si>
  <si>
    <t>p_coexistence</t>
  </si>
  <si>
    <t>p_extinction</t>
  </si>
  <si>
    <t>p_flourishing</t>
  </si>
  <si>
    <t>p_subjugation</t>
  </si>
  <si>
    <t>utility_coexistence</t>
  </si>
  <si>
    <t>utility_extinction</t>
  </si>
  <si>
    <t>utility_flourishing</t>
  </si>
  <si>
    <t>utility_subjugation</t>
  </si>
  <si>
    <t>Coordination_Holds</t>
  </si>
  <si>
    <t>humanity_outcome</t>
  </si>
  <si>
    <t>metric</t>
  </si>
  <si>
    <t>result</t>
  </si>
  <si>
    <t>Dominant Strategy</t>
  </si>
  <si>
    <t>Fast (for both)</t>
  </si>
  <si>
    <t>Worst outcome</t>
  </si>
  <si>
    <t>Nash Equilibrium</t>
  </si>
  <si>
    <t>Best but unstable</t>
  </si>
  <si>
    <t>Pareto Optimal</t>
  </si>
  <si>
    <t>Name</t>
  </si>
  <si>
    <t>Value</t>
  </si>
  <si>
    <t>asimov_summary.total_ev_with_asimov</t>
  </si>
  <si>
    <t>baseline_summary.total_ev_without_asimov</t>
  </si>
  <si>
    <t>marginal_impact.ev_improvement</t>
  </si>
  <si>
    <t>marginal_impact.ev_improvement_pct</t>
  </si>
  <si>
    <t>overall_analysis.probability_check</t>
  </si>
  <si>
    <t>overall_analysis.total_expected_value</t>
  </si>
  <si>
    <t>scenario_summary.avg_expected_utility</t>
  </si>
  <si>
    <t>scenario_summary.max_expected_utility</t>
  </si>
  <si>
    <t>scenario_summary.min_expected_utility</t>
  </si>
  <si>
    <t>scenario_summary.total_probability_check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</si>
</sst>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0.35</v>
      </c>
    </row>
    <row r="3" spans="1:4">
      <c r="A3" t="s">
        <v>4</v>
      </c>
      <c r="B3" t="s">
        <v>7</v>
      </c>
      <c r="C3" t="s">
        <v>8</v>
      </c>
      <c r="D3">
        <v>0.33</v>
      </c>
    </row>
    <row r="4" spans="1:4">
      <c r="A4" t="s">
        <v>4</v>
      </c>
      <c r="B4" t="s">
        <v>9</v>
      </c>
      <c r="C4" t="s">
        <v>10</v>
      </c>
      <c r="D4">
        <v>0.2</v>
      </c>
    </row>
    <row r="5" spans="1:4">
      <c r="A5" t="s">
        <v>4</v>
      </c>
      <c r="B5" t="s">
        <v>11</v>
      </c>
      <c r="C5" t="s">
        <v>12</v>
      </c>
      <c r="D5">
        <v>0.22</v>
      </c>
    </row>
    <row r="6" spans="1:4">
      <c r="A6" t="s">
        <v>4</v>
      </c>
      <c r="B6" t="s">
        <v>4</v>
      </c>
      <c r="C6" t="s">
        <v>13</v>
      </c>
      <c r="D6">
        <v>0.18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>
      <c r="A2" t="s">
        <v>19</v>
      </c>
      <c r="B2">
        <v>5</v>
      </c>
      <c r="C2">
        <v>3</v>
      </c>
      <c r="D2">
        <v>3</v>
      </c>
      <c r="E2" t="s">
        <v>20</v>
      </c>
    </row>
    <row r="3" spans="1:5">
      <c r="A3" t="s">
        <v>21</v>
      </c>
      <c r="B3">
        <v>1</v>
      </c>
      <c r="C3">
        <v>0</v>
      </c>
      <c r="D3">
        <v>5</v>
      </c>
      <c r="E3" t="s">
        <v>22</v>
      </c>
    </row>
    <row r="4" spans="1:5">
      <c r="A4" t="s">
        <v>23</v>
      </c>
      <c r="B4">
        <v>1</v>
      </c>
      <c r="C4">
        <v>5</v>
      </c>
      <c r="D4">
        <v>0</v>
      </c>
      <c r="E4" t="s">
        <v>24</v>
      </c>
    </row>
    <row r="5" spans="1:5">
      <c r="A5" t="s">
        <v>25</v>
      </c>
      <c r="B5">
        <v>0</v>
      </c>
      <c r="C5">
        <v>1</v>
      </c>
      <c r="D5">
        <v>1</v>
      </c>
      <c r="E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>
        <v>44</v>
      </c>
      <c r="B2">
        <v>0.35</v>
      </c>
      <c r="C2" t="s">
        <v>31</v>
      </c>
      <c r="D2">
        <f>B2 * A2</f>
        <v>0</v>
      </c>
    </row>
    <row r="3" spans="1:4">
      <c r="A3">
        <v>62.5</v>
      </c>
      <c r="B3">
        <v>0.25</v>
      </c>
      <c r="C3" t="s">
        <v>32</v>
      </c>
      <c r="D3">
        <f>B3 * A3</f>
        <v>0</v>
      </c>
    </row>
    <row r="4" spans="1:4">
      <c r="A4">
        <v>76.25</v>
      </c>
      <c r="B4">
        <v>0.12</v>
      </c>
      <c r="C4" t="s">
        <v>33</v>
      </c>
      <c r="D4">
        <f>B4 * A4</f>
        <v>0</v>
      </c>
    </row>
    <row r="5" spans="1:4">
      <c r="A5">
        <v>52.5</v>
      </c>
      <c r="B5">
        <v>0.18</v>
      </c>
      <c r="C5" t="s">
        <v>34</v>
      </c>
      <c r="D5">
        <f>B5 * A5</f>
        <v>0</v>
      </c>
    </row>
    <row r="6" spans="1:4">
      <c r="A6">
        <v>78.05</v>
      </c>
      <c r="B6">
        <v>0.1</v>
      </c>
      <c r="C6" t="s">
        <v>35</v>
      </c>
      <c r="D6">
        <f>B6 * A6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27</v>
      </c>
      <c r="B1" t="s">
        <v>36</v>
      </c>
      <c r="C1" t="s">
        <v>37</v>
      </c>
      <c r="D1" t="s">
        <v>38</v>
      </c>
      <c r="E1" t="s">
        <v>39</v>
      </c>
      <c r="F1" t="s">
        <v>29</v>
      </c>
      <c r="G1" t="s">
        <v>40</v>
      </c>
      <c r="H1" t="s">
        <v>41</v>
      </c>
      <c r="I1" t="s">
        <v>42</v>
      </c>
      <c r="J1" t="s">
        <v>43</v>
      </c>
    </row>
    <row r="2" spans="1:10">
      <c r="A2">
        <f>C2 * H2 + E2 * J2 + B2 * G2 + D2 * I2</f>
        <v>0</v>
      </c>
      <c r="B2">
        <v>0.2</v>
      </c>
      <c r="C2">
        <v>0.3</v>
      </c>
      <c r="D2">
        <v>0.1</v>
      </c>
      <c r="E2">
        <v>0.4</v>
      </c>
      <c r="F2" t="s">
        <v>31</v>
      </c>
      <c r="G2">
        <v>75</v>
      </c>
      <c r="H2">
        <v>0</v>
      </c>
      <c r="I2">
        <v>100</v>
      </c>
      <c r="J2">
        <v>50</v>
      </c>
    </row>
    <row r="3" spans="1:10">
      <c r="A3">
        <f>C3 * H3 + E3 * J3 + B3 * G3 + D3 * I3</f>
        <v>0</v>
      </c>
      <c r="B3">
        <v>0.4</v>
      </c>
      <c r="C3">
        <v>0.1</v>
      </c>
      <c r="D3">
        <v>0.25</v>
      </c>
      <c r="E3">
        <v>0.25</v>
      </c>
      <c r="F3" t="s">
        <v>32</v>
      </c>
      <c r="G3">
        <v>75</v>
      </c>
      <c r="H3">
        <v>0</v>
      </c>
      <c r="I3">
        <v>100</v>
      </c>
      <c r="J3">
        <v>50</v>
      </c>
    </row>
    <row r="4" spans="1:10">
      <c r="A4">
        <f>C4 * H4 + E4 * J4 + B4 * G4 + D4 * I4</f>
        <v>0</v>
      </c>
      <c r="B4">
        <v>0.45</v>
      </c>
      <c r="C4">
        <v>0.05</v>
      </c>
      <c r="D4">
        <v>0.4</v>
      </c>
      <c r="E4">
        <v>0.1</v>
      </c>
      <c r="F4" t="s">
        <v>33</v>
      </c>
      <c r="G4">
        <v>75</v>
      </c>
      <c r="H4">
        <v>0</v>
      </c>
      <c r="I4">
        <v>100</v>
      </c>
      <c r="J4">
        <v>50</v>
      </c>
    </row>
    <row r="5" spans="1:10">
      <c r="A5">
        <f>C5 * H5 + E5 * J5 + B5 * G5 + D5 * I5</f>
        <v>0</v>
      </c>
      <c r="B5">
        <v>0.3</v>
      </c>
      <c r="C5">
        <v>0.2</v>
      </c>
      <c r="D5">
        <v>0.15</v>
      </c>
      <c r="E5">
        <v>0.35</v>
      </c>
      <c r="F5" t="s">
        <v>34</v>
      </c>
      <c r="G5">
        <v>75</v>
      </c>
      <c r="H5">
        <v>0</v>
      </c>
      <c r="I5">
        <v>100</v>
      </c>
      <c r="J5">
        <v>50</v>
      </c>
    </row>
    <row r="6" spans="1:10">
      <c r="A6">
        <f>C6 * H6 + E6 * J6 + B6 * G6 + D6 * I6</f>
        <v>0</v>
      </c>
      <c r="B6">
        <v>0.5</v>
      </c>
      <c r="C6">
        <v>0.02</v>
      </c>
      <c r="D6">
        <v>0.43</v>
      </c>
      <c r="E6">
        <v>0.05</v>
      </c>
      <c r="F6" t="s">
        <v>35</v>
      </c>
      <c r="G6">
        <v>75</v>
      </c>
      <c r="H6">
        <v>0</v>
      </c>
      <c r="I6">
        <v>100</v>
      </c>
      <c r="J6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>
        <v>44</v>
      </c>
      <c r="B2">
        <v>0.45</v>
      </c>
      <c r="C2" t="s">
        <v>31</v>
      </c>
      <c r="D2">
        <f>B2 * A2</f>
        <v>0</v>
      </c>
    </row>
    <row r="3" spans="1:4">
      <c r="A3">
        <v>62.5</v>
      </c>
      <c r="B3">
        <v>0.25</v>
      </c>
      <c r="C3" t="s">
        <v>32</v>
      </c>
      <c r="D3">
        <f>B3 * A3</f>
        <v>0</v>
      </c>
    </row>
    <row r="4" spans="1:4">
      <c r="A4">
        <v>52.5</v>
      </c>
      <c r="B4">
        <v>0.2</v>
      </c>
      <c r="C4" t="s">
        <v>34</v>
      </c>
      <c r="D4">
        <f>B4 * A4</f>
        <v>0</v>
      </c>
    </row>
    <row r="5" spans="1:4">
      <c r="A5">
        <v>78.05</v>
      </c>
      <c r="B5">
        <v>0.1</v>
      </c>
      <c r="C5" t="s">
        <v>44</v>
      </c>
      <c r="D5">
        <f>B5 * A5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>
        <v>44</v>
      </c>
      <c r="B2">
        <v>0.35</v>
      </c>
      <c r="C2" t="s">
        <v>31</v>
      </c>
      <c r="D2">
        <f>B2 * A2</f>
        <v>0</v>
      </c>
    </row>
    <row r="3" spans="1:4">
      <c r="A3">
        <v>62.5</v>
      </c>
      <c r="B3">
        <v>0.25</v>
      </c>
      <c r="C3" t="s">
        <v>32</v>
      </c>
      <c r="D3">
        <f>B3 * A3</f>
        <v>0</v>
      </c>
    </row>
    <row r="4" spans="1:4">
      <c r="A4">
        <v>76.25</v>
      </c>
      <c r="B4">
        <v>0.12</v>
      </c>
      <c r="C4" t="s">
        <v>33</v>
      </c>
      <c r="D4">
        <f>B4 * A4</f>
        <v>0</v>
      </c>
    </row>
    <row r="5" spans="1:4">
      <c r="A5">
        <v>52.5</v>
      </c>
      <c r="B5">
        <v>0.18</v>
      </c>
      <c r="C5" t="s">
        <v>34</v>
      </c>
      <c r="D5">
        <f>B5 * A5</f>
        <v>0</v>
      </c>
    </row>
    <row r="6" spans="1:4">
      <c r="A6">
        <v>78.05</v>
      </c>
      <c r="B6">
        <v>0.1</v>
      </c>
      <c r="C6" t="s">
        <v>44</v>
      </c>
      <c r="D6">
        <f>B6 * A6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45</v>
      </c>
      <c r="B1" t="s">
        <v>46</v>
      </c>
      <c r="C1" t="s">
        <v>47</v>
      </c>
    </row>
    <row r="2" spans="1:3">
      <c r="A2" t="s">
        <v>25</v>
      </c>
      <c r="B2" t="s">
        <v>48</v>
      </c>
      <c r="C2" t="s">
        <v>49</v>
      </c>
    </row>
    <row r="3" spans="1:3">
      <c r="A3" t="s">
        <v>50</v>
      </c>
      <c r="B3" t="s">
        <v>51</v>
      </c>
      <c r="C3" t="s">
        <v>26</v>
      </c>
    </row>
    <row r="4" spans="1:3">
      <c r="A4" t="s">
        <v>52</v>
      </c>
      <c r="B4" t="s">
        <v>53</v>
      </c>
      <c r="C4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54</v>
      </c>
      <c r="B1" t="s">
        <v>55</v>
      </c>
    </row>
    <row r="2" spans="1:2">
      <c r="A2" t="s">
        <v>56</v>
      </c>
      <c r="B2">
        <f>SUM('asimov_world'!D2:D6)</f>
        <v>0</v>
      </c>
    </row>
    <row r="3" spans="1:2">
      <c r="A3" t="s">
        <v>57</v>
      </c>
      <c r="B3">
        <f>SUM('baseline_world'!D2:D5)</f>
        <v>0</v>
      </c>
    </row>
    <row r="4" spans="1:2">
      <c r="A4" t="s">
        <v>58</v>
      </c>
      <c r="B4">
        <f>B2 - B3</f>
        <v>0</v>
      </c>
    </row>
    <row r="5" spans="1:2">
      <c r="A5" t="s">
        <v>59</v>
      </c>
      <c r="B5">
        <f>(B2 - B3) / B3</f>
        <v>0</v>
      </c>
    </row>
    <row r="6" spans="1:2">
      <c r="A6" t="s">
        <v>60</v>
      </c>
      <c r="B6">
        <f>SUM('trajectory_probabilities'!B2:B6)</f>
        <v>0</v>
      </c>
    </row>
    <row r="7" spans="1:2">
      <c r="A7" t="s">
        <v>61</v>
      </c>
      <c r="B7">
        <f>SUM('trajectory_probabilities'!D2:D6)</f>
        <v>0</v>
      </c>
    </row>
    <row r="8" spans="1:2">
      <c r="A8" t="s">
        <v>62</v>
      </c>
      <c r="B8">
        <f>AVERAGE('scenario_outcomes'!A2:A6)</f>
        <v>0</v>
      </c>
    </row>
    <row r="9" spans="1:2">
      <c r="A9" t="s">
        <v>63</v>
      </c>
      <c r="B9">
        <f>MAX('scenario_outcomes'!A2:A6)</f>
        <v>0</v>
      </c>
    </row>
    <row r="10" spans="1:2">
      <c r="A10" t="s">
        <v>64</v>
      </c>
      <c r="B10">
        <f>MIN('scenario_outcomes'!A2:A6)</f>
        <v>0</v>
      </c>
    </row>
    <row r="11" spans="1:2">
      <c r="A11" t="s">
        <v>65</v>
      </c>
      <c r="B11">
        <f>SUM('scenario_outcomes'!C2:C6) + SUM('scenario_outcomes'!E2:E6) + SUM('scenario_outcomes'!B2:B6) + SUM('scenario_outcomes'!D2:D6)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lab_safety_scores</vt:lpstr>
      <vt:lpstr>prisoners_dilemma</vt:lpstr>
      <vt:lpstr>trajectory_probabilities</vt:lpstr>
      <vt:lpstr>scenario_outcomes</vt:lpstr>
      <vt:lpstr>baseline_world</vt:lpstr>
      <vt:lpstr>asimov_world</vt:lpstr>
      <vt:lpstr>nash_analysis</vt:lpstr>
      <vt:lpstr>Scalars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2025-12-14T03:33:47Z</dcterms:created>
  <dcterms:modified xsi:type="dcterms:W3CDTF">2025-12-14T03:33:47Z</dcterms:modified>
</cp:coreProperties>
</file>
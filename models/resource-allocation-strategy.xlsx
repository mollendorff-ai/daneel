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ies" sheetId="1" r:id="rId1"/>
    <sheet name="parallel_advantage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<sst xmlns="http://schemas.openxmlformats.org/spreadsheetml/2006/main" count="19" uniqueCount="19">
  <si>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ev_asimov</t>
  </si>
  <si>
    <t>ev_total</t>
  </si>
  <si>
    <t>ev_wealth</t>
  </si>
  <si>
    <t>p_asimov_effective</t>
  </si>
  <si>
    <t>p_asimov_success_base</t>
  </si>
  <si>
    <t>p_runway_survives</t>
  </si>
  <si>
    <t>p_wealth_success</t>
  </si>
  <si>
    <t>p_window_open</t>
  </si>
  <si>
    <t>strategy</t>
  </si>
  <si>
    <t>time_to_asimov_months</t>
  </si>
  <si>
    <t>Wealth_First</t>
  </si>
  <si>
    <t>ASImov_First</t>
  </si>
  <si>
    <t>Parallel</t>
  </si>
  <si>
    <t>benefit_pct</t>
  </si>
  <si>
    <t>factor</t>
  </si>
  <si>
    <t>Agent_Autonomy</t>
  </si>
  <si>
    <t>Rex_Bottleneck</t>
  </si>
  <si>
    <t>Synergy</t>
  </si>
  <si>
    <t>Risk_Mitigation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</si>
</sst>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f>D2 * 100</f>
        <v>0</v>
      </c>
      <c r="B2">
        <f>A2 + C2</f>
        <v>0</v>
      </c>
      <c r="C2">
        <f>G2 * 50</f>
        <v>0</v>
      </c>
      <c r="D2">
        <f>E2 * F2 * H2</f>
        <v>0</v>
      </c>
      <c r="E2">
        <v>0.15</v>
      </c>
      <c r="F2">
        <v>0.95</v>
      </c>
      <c r="G2">
        <v>0.6</v>
      </c>
      <c r="H2">
        <v>0.7</v>
      </c>
      <c r="I2" t="s">
        <v>10</v>
      </c>
      <c r="J2">
        <v>18</v>
      </c>
    </row>
    <row r="3" spans="1:10">
      <c r="A3">
        <f>D3 * 100</f>
        <v>0</v>
      </c>
      <c r="B3">
        <f>A3 + C3</f>
        <v>0</v>
      </c>
      <c r="C3">
        <f>G3 * 50</f>
        <v>0</v>
      </c>
      <c r="D3">
        <f>E3 * F3 * H3</f>
        <v>0</v>
      </c>
      <c r="E3">
        <v>0.12</v>
      </c>
      <c r="F3">
        <v>0.5</v>
      </c>
      <c r="G3">
        <v>0.3</v>
      </c>
      <c r="H3">
        <v>0.95</v>
      </c>
      <c r="I3" t="s">
        <v>11</v>
      </c>
      <c r="J3">
        <v>6</v>
      </c>
    </row>
    <row r="4" spans="1:10">
      <c r="A4">
        <f>D4 * 100</f>
        <v>0</v>
      </c>
      <c r="B4">
        <f>A4 + C4</f>
        <v>0</v>
      </c>
      <c r="C4">
        <f>G4 * 50</f>
        <v>0</v>
      </c>
      <c r="D4">
        <f>E4 * F4 * H4</f>
        <v>0</v>
      </c>
      <c r="E4">
        <v>0.12</v>
      </c>
      <c r="F4">
        <v>0.8</v>
      </c>
      <c r="G4">
        <v>0.5</v>
      </c>
      <c r="H4">
        <v>0.9</v>
      </c>
      <c r="I4" t="s">
        <v>12</v>
      </c>
      <c r="J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13</v>
      </c>
      <c r="B1" t="s">
        <v>14</v>
      </c>
    </row>
    <row r="2" spans="1:2">
      <c r="A2">
        <v>0.9</v>
      </c>
      <c r="B2" t="s">
        <v>15</v>
      </c>
    </row>
    <row r="3" spans="1:2">
      <c r="A3">
        <v>1</v>
      </c>
      <c r="B3" t="s">
        <v>16</v>
      </c>
    </row>
    <row r="4" spans="1:2">
      <c r="A4">
        <v>0.1</v>
      </c>
      <c r="B4" t="s">
        <v>17</v>
      </c>
    </row>
    <row r="5" spans="1:2">
      <c r="A5">
        <v>0.3</v>
      </c>
      <c r="B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strategies</vt:lpstr>
      <vt:lpstr>parallel_advantage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2025-12-14T03:32:32Z</dcterms:created>
  <dcterms:modified xsi:type="dcterms:W3CDTF">2025-12-14T03:32:32Z</dcterms:modified>
</cp:coreProperties>
</file>